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ipeline_Detail" sheetId="2" state="visible" r:id="rId4"/>
    <sheet name="Aging Analysis" sheetId="3" state="visible" r:id="rId5"/>
    <sheet name="Budget Exposure" sheetId="4" state="visible" r:id="rId6"/>
    <sheet name="Exceptions" sheetId="5" state="visible" r:id="rId7"/>
    <sheet name="Audit Trail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<sst xmlns="http://schemas.openxmlformats.org/spreadsheetml/2006/main" count="487" uniqueCount="235">
  <si>
    <t xml:space="preserve">2026-11  |  LuminaUS  |  Hiring Pipeline Status</t>
  </si>
  <si>
    <t xml:space="preserve">Snapshot: 2026-11-30  |  Agent: hiring-pipeline v0.1.0  |  All figures annualised fully-loaded (×1.25 loading factor)</t>
  </si>
  <si>
    <t xml:space="preserve">Total Open Roles</t>
  </si>
  <si>
    <t xml:space="preserve">On Track</t>
  </si>
  <si>
    <t xml:space="preserve">At Risk (31–60 d)</t>
  </si>
  <si>
    <t xml:space="preserve">Late (61–90 d)</t>
  </si>
  <si>
    <t xml:space="preserve">Flagged Roles</t>
  </si>
  <si>
    <t xml:space="preserve">Eng Exposure ($)</t>
  </si>
  <si>
    <t xml:space="preserve">Total LuminaUS
Exposure ($)</t>
  </si>
  <si>
    <t xml:space="preserve">Department Budget Exposure (LuminaUS, Annualised Fully Loaded)</t>
  </si>
  <si>
    <t xml:space="preserve">Department</t>
  </si>
  <si>
    <t xml:space="preserve">Open Roles</t>
  </si>
  <si>
    <t xml:space="preserve">Annualised Exposure ($)</t>
  </si>
  <si>
    <t xml:space="preserve">Dept Trigger (&gt;$500K)</t>
  </si>
  <si>
    <t xml:space="preserve">Highest Severity</t>
  </si>
  <si>
    <t xml:space="preserve">Action Owner</t>
  </si>
  <si>
    <t xml:space="preserve">Engineering</t>
  </si>
  <si>
    <t xml:space="preserve">YES — Investigate</t>
  </si>
  <si>
    <t xml:space="preserve">Late</t>
  </si>
  <si>
    <t xml:space="preserve">VP Engineering / FP&amp;A</t>
  </si>
  <si>
    <t xml:space="preserve">Sales</t>
  </si>
  <si>
    <t xml:space="preserve">Below threshold</t>
  </si>
  <si>
    <t xml:space="preserve">At Risk</t>
  </si>
  <si>
    <t xml:space="preserve">CRO / HR</t>
  </si>
  <si>
    <t xml:space="preserve">G&amp;A</t>
  </si>
  <si>
    <t xml:space="preserve">—</t>
  </si>
  <si>
    <t xml:space="preserve">VP Finance</t>
  </si>
  <si>
    <t xml:space="preserve">Content</t>
  </si>
  <si>
    <t xml:space="preserve">SVP Content / HR</t>
  </si>
  <si>
    <t xml:space="preserve">Marketing</t>
  </si>
  <si>
    <t xml:space="preserve">CMO</t>
  </si>
  <si>
    <t xml:space="preserve">TOTAL (LuminaUS)</t>
  </si>
  <si>
    <t xml:space="preserve">Flagged Exceptions — Ranked by Budget Exposure</t>
  </si>
  <si>
    <t xml:space="preserve">Req ID</t>
  </si>
  <si>
    <t xml:space="preserve">Dept</t>
  </si>
  <si>
    <t xml:space="preserve">Title</t>
  </si>
  <si>
    <t xml:space="preserve">Days Past Target</t>
  </si>
  <si>
    <t xml:space="preserve">Status</t>
  </si>
  <si>
    <t xml:space="preserve">Ann. Exposure ($)</t>
  </si>
  <si>
    <t xml:space="preserve">Action Required</t>
  </si>
  <si>
    <t xml:space="preserve">REQ-102</t>
  </si>
  <si>
    <t xml:space="preserve">Sr Software Engineer</t>
  </si>
  <si>
    <t xml:space="preserve">Offer Extended</t>
  </si>
  <si>
    <t xml:space="preserve">Confirm offer acceptance by BD+1; close or re-pipeline by BD+3</t>
  </si>
  <si>
    <t xml:space="preserve">REQ-101</t>
  </si>
  <si>
    <t xml:space="preserve">Software Engineer</t>
  </si>
  <si>
    <t xml:space="preserve">Interviewing</t>
  </si>
  <si>
    <t xml:space="preserve">HM EMP-1006 to provide revised timeline by BD+2; escalate to VP Eng if no response</t>
  </si>
  <si>
    <t xml:space="preserve">REQ-103</t>
  </si>
  <si>
    <t xml:space="preserve">Sourcing</t>
  </si>
  <si>
    <t xml:space="preserve">Pipeline stalled 91 days from open; HM EMP-1008 to accelerate or re-scope role</t>
  </si>
  <si>
    <t xml:space="preserve">REQ-201</t>
  </si>
  <si>
    <t xml:space="preserve">Account Executive</t>
  </si>
  <si>
    <t xml:space="preserve">Offer Stage</t>
  </si>
  <si>
    <t xml:space="preserve">Offer at risk without commission plan — HR to assign commission plan before offer expires</t>
  </si>
  <si>
    <t xml:space="preserve">Additional Pipeline Health Flags</t>
  </si>
  <si>
    <t xml:space="preserve">Flag Type</t>
  </si>
  <si>
    <t xml:space="preserve">Detail</t>
  </si>
  <si>
    <t xml:space="preserve">HM Capacity</t>
  </si>
  <si>
    <t xml:space="preserve">EMP-1002 (VP Engineering) carries 3 active reqs (REQ-104, REQ-601, REQ-701). Monitor for pipeline slowdown.</t>
  </si>
  <si>
    <t xml:space="preserve">Pipeline Stall</t>
  </si>
  <si>
    <t xml:space="preserve">REQ-101 has been in Interviewing stage for 91+ days from req open date. Flag for HM review.</t>
  </si>
  <si>
    <t xml:space="preserve">REQ-103 has been in Sourcing for 91 days. No movement noted; at risk of becoming severely late.</t>
  </si>
  <si>
    <t xml:space="preserve">Not Yet Open</t>
  </si>
  <si>
    <t xml:space="preserve">REQ-502 (Content Associate backfill) not yet posted — pending HR approval. Each week of delay extends risk window.</t>
  </si>
  <si>
    <t xml:space="preserve">Commission Gap</t>
  </si>
  <si>
    <t xml:space="preserve">REQ-201 (Sales AE) has an offer extended but no commission plan assigned. Offer acceptance risk.</t>
  </si>
  <si>
    <t xml:space="preserve">Total Open Roles (all entities)</t>
  </si>
  <si>
    <t xml:space="preserve">Flagged (&gt;30 d, LuminaUS)</t>
  </si>
  <si>
    <t xml:space="preserve">Severely Late (&gt;90 d)</t>
  </si>
  <si>
    <t xml:space="preserve">Total Flagged Exposure ($)</t>
  </si>
  <si>
    <t xml:space="preserve">Engineering Exposure — LuminaUS ($)</t>
  </si>
  <si>
    <t xml:space="preserve">Total LuminaUS Open Exposure ($)</t>
  </si>
  <si>
    <t xml:space="preserve">Full Open Requisition List — All Entities</t>
  </si>
  <si>
    <t xml:space="preserve">Entity</t>
  </si>
  <si>
    <t xml:space="preserve">Level</t>
  </si>
  <si>
    <t xml:space="preserve">Target Start</t>
  </si>
  <si>
    <t xml:space="preserve">Aging Bucket</t>
  </si>
  <si>
    <t xml:space="preserve">Budgeted Base ($)</t>
  </si>
  <si>
    <t xml:space="preserve">Ann. Fully Loaded ($)</t>
  </si>
  <si>
    <t xml:space="preserve">Hiring Manager</t>
  </si>
  <si>
    <t xml:space="preserve">Risk Flag</t>
  </si>
  <si>
    <t xml:space="preserve">Notes</t>
  </si>
  <si>
    <t xml:space="preserve">LuminaUS</t>
  </si>
  <si>
    <t xml:space="preserve">L2</t>
  </si>
  <si>
    <t xml:space="preserve">2026-09-01</t>
  </si>
  <si>
    <t xml:space="preserve">EMP-1006</t>
  </si>
  <si>
    <t xml:space="preserve">YES</t>
  </si>
  <si>
    <t xml:space="preserve">FINDING 2 — 90 days past target</t>
  </si>
  <si>
    <t xml:space="preserve">L3</t>
  </si>
  <si>
    <t xml:space="preserve">2026-10-01</t>
  </si>
  <si>
    <t xml:space="preserve">EMP-1007</t>
  </si>
  <si>
    <t xml:space="preserve">FINDING 2 — 61 days past target</t>
  </si>
  <si>
    <t xml:space="preserve">2026-10-15</t>
  </si>
  <si>
    <t xml:space="preserve">EMP-1008</t>
  </si>
  <si>
    <t xml:space="preserve">FINDING 2 — 46 days past target</t>
  </si>
  <si>
    <t xml:space="preserve">REQ-104</t>
  </si>
  <si>
    <t xml:space="preserve">L4</t>
  </si>
  <si>
    <t xml:space="preserve">Eng Manager, Security</t>
  </si>
  <si>
    <t xml:space="preserve">2026-12-01</t>
  </si>
  <si>
    <t xml:space="preserve">Final Interviews</t>
  </si>
  <si>
    <t xml:space="preserve">EMP-1002</t>
  </si>
  <si>
    <t xml:space="preserve">On track</t>
  </si>
  <si>
    <t xml:space="preserve">REQ-105</t>
  </si>
  <si>
    <t xml:space="preserve">2027-01-15</t>
  </si>
  <si>
    <t xml:space="preserve">EMP-1003</t>
  </si>
  <si>
    <t xml:space="preserve">EMP-3002</t>
  </si>
  <si>
    <t xml:space="preserve">FINDING 6 — 46 days past; commission plan not assigned</t>
  </si>
  <si>
    <t xml:space="preserve">REQ-202</t>
  </si>
  <si>
    <t xml:space="preserve">Sr Account Executive</t>
  </si>
  <si>
    <t xml:space="preserve">2027-01-01</t>
  </si>
  <si>
    <t xml:space="preserve">EMP-3003</t>
  </si>
  <si>
    <t xml:space="preserve">REQ-301</t>
  </si>
  <si>
    <t xml:space="preserve">FP&amp;A Analyst</t>
  </si>
  <si>
    <t xml:space="preserve">EMP-2006</t>
  </si>
  <si>
    <t xml:space="preserve">REQ-302</t>
  </si>
  <si>
    <t xml:space="preserve">Sr HR Manager</t>
  </si>
  <si>
    <t xml:space="preserve">2027-02-01</t>
  </si>
  <si>
    <t xml:space="preserve">EMP-2004</t>
  </si>
  <si>
    <t xml:space="preserve">REQ-401</t>
  </si>
  <si>
    <t xml:space="preserve">Marketing Specialist</t>
  </si>
  <si>
    <t xml:space="preserve">EMP-4003</t>
  </si>
  <si>
    <t xml:space="preserve">New headcount — approved Q4 plan</t>
  </si>
  <si>
    <t xml:space="preserve">REQ-501</t>
  </si>
  <si>
    <t xml:space="preserve">Sr Content Manager</t>
  </si>
  <si>
    <t xml:space="preserve">EMP-5002</t>
  </si>
  <si>
    <t xml:space="preserve">Backfill for EMP-5009 departure</t>
  </si>
  <si>
    <t xml:space="preserve">REQ-502</t>
  </si>
  <si>
    <t xml:space="preserve">Content Associate</t>
  </si>
  <si>
    <t xml:space="preserve">Backfill pending HR approval</t>
  </si>
  <si>
    <t xml:space="preserve">REQ-601</t>
  </si>
  <si>
    <t xml:space="preserve">LuminaEMEA</t>
  </si>
  <si>
    <t xml:space="preserve">EMEA hire — EUR comp converted to USD</t>
  </si>
  <si>
    <t xml:space="preserve">REQ-701</t>
  </si>
  <si>
    <t xml:space="preserve">LuminaAPAC</t>
  </si>
  <si>
    <t xml:space="preserve">APAC hire — SGD comp converted to USD</t>
  </si>
  <si>
    <t xml:space="preserve">REQ-702</t>
  </si>
  <si>
    <t xml:space="preserve">APAC hire</t>
  </si>
  <si>
    <t xml:space="preserve">Aging Analysis — Open Requisitions by Bucket and Department</t>
  </si>
  <si>
    <t xml:space="preserve">Snapshot: 2026-11-30  |  Flagged = days past target start &gt; 30</t>
  </si>
  <si>
    <t xml:space="preserve">At Risk (31–60d)</t>
  </si>
  <si>
    <t xml:space="preserve">Late (61–90d)</t>
  </si>
  <si>
    <t xml:space="preserve">Flagged Total</t>
  </si>
  <si>
    <t xml:space="preserve">REQ-101 (90d), REQ-102 (61d) = Late; REQ-103 (46d) = At Risk</t>
  </si>
  <si>
    <t xml:space="preserve">REQ-201 (46d) = At Risk; commission plan gap</t>
  </si>
  <si>
    <t xml:space="preserve">All on track</t>
  </si>
  <si>
    <t xml:space="preserve">REQ-502 not yet open — monitor</t>
  </si>
  <si>
    <t xml:space="preserve">EMEA/APAC</t>
  </si>
  <si>
    <t xml:space="preserve">All on track; outside LuminaUS scope</t>
  </si>
  <si>
    <t xml:space="preserve">TOTAL (all entities)</t>
  </si>
  <si>
    <t xml:space="preserve">Stage Distribution — LuminaUS Open Roles</t>
  </si>
  <si>
    <t xml:space="preserve">Stage</t>
  </si>
  <si>
    <t xml:space="preserve">Count</t>
  </si>
  <si>
    <t xml:space="preserve">% of Pipeline</t>
  </si>
  <si>
    <t xml:space="preserve">Flagged in Stage</t>
  </si>
  <si>
    <t xml:space="preserve">Risk Commentary</t>
  </si>
  <si>
    <t xml:space="preserve">8%</t>
  </si>
  <si>
    <t xml:space="preserve">REQ-502 — awaiting HR approval</t>
  </si>
  <si>
    <t xml:space="preserve">42%</t>
  </si>
  <si>
    <t xml:space="preserve">REQ-103 stalled 91 days from open; high risk</t>
  </si>
  <si>
    <t xml:space="preserve">17%</t>
  </si>
  <si>
    <t xml:space="preserve">REQ-101 stalled; REQ-301 on track</t>
  </si>
  <si>
    <t xml:space="preserve">REQ-104 on track; promising</t>
  </si>
  <si>
    <t xml:space="preserve">REQ-201 — offer at risk without commission plan</t>
  </si>
  <si>
    <t xml:space="preserve">REQ-102 — close watch; offer may convert</t>
  </si>
  <si>
    <t xml:space="preserve">Sourcing (EMEA/APAC)</t>
  </si>
  <si>
    <t xml:space="preserve">Not in LuminaUS count</t>
  </si>
  <si>
    <t xml:space="preserve">Budget Exposure — Open Headcount (LuminaUS, Annualised Fully Loaded)</t>
  </si>
  <si>
    <t xml:space="preserve">Exposure = Budgeted Base × 1.25 loading factor. Annualised figure represents full-year cost commitment once filled.</t>
  </si>
  <si>
    <t xml:space="preserve">Trigger (&gt;$150K)</t>
  </si>
  <si>
    <t xml:space="preserve">Uncertainty</t>
  </si>
  <si>
    <t xml:space="preserve">Low — offer expected Dec</t>
  </si>
  <si>
    <t xml:space="preserve">Medium — on track</t>
  </si>
  <si>
    <t xml:space="preserve">Medium-Low — offer in market</t>
  </si>
  <si>
    <t xml:space="preserve">High — 90 days late</t>
  </si>
  <si>
    <t xml:space="preserve">High — 46 days late, stalled</t>
  </si>
  <si>
    <t xml:space="preserve">Low — on track</t>
  </si>
  <si>
    <t xml:space="preserve">Low — newly opened backfill</t>
  </si>
  <si>
    <t xml:space="preserve">High — pending HR approval</t>
  </si>
  <si>
    <t xml:space="preserve">Medium — offer at risk (commission gap)</t>
  </si>
  <si>
    <t xml:space="preserve">Roles above $150K trigger: 7 of 12  |  Total trigger-level exposure: $1,716,250  |  Engineering dept exposure $1,326,250 exceeds $500K dept threshold (Investigate)</t>
  </si>
  <si>
    <t xml:space="preserve">Exceptions &amp; Proposed Actions</t>
  </si>
  <si>
    <t xml:space="preserve">Severity</t>
  </si>
  <si>
    <t xml:space="preserve">Category</t>
  </si>
  <si>
    <t xml:space="preserve">Role</t>
  </si>
  <si>
    <t xml:space="preserve">Proposed Action</t>
  </si>
  <si>
    <t xml:space="preserve">HIGH</t>
  </si>
  <si>
    <t xml:space="preserve">open_role_late</t>
  </si>
  <si>
    <t xml:space="preserve">HM EMP-1006 to provide revised timeline by BD+2. If no update, escalate to VP Engineering. Re-pipeline immediately if candidate pool exhausted.</t>
  </si>
  <si>
    <t xml:space="preserve">Pipeline stalled 91 days from req open with no stage movement. HM EMP-1008 to review sourcing strategy. Consider expanding scope or engaging external recruiter.</t>
  </si>
  <si>
    <t xml:space="preserve">open_role_commission_gap</t>
  </si>
  <si>
    <t xml:space="preserve">Offer is live but commission plan not assigned. HR to create and assign commission plan before offer deadline. Risk of candidate declining or departure on Day 1.</t>
  </si>
  <si>
    <t xml:space="preserve">MEDIUM</t>
  </si>
  <si>
    <t xml:space="preserve">Offer extended — monitor for acceptance by end of week. If declined, escalate immediately; next candidate in pipeline must be pre-warmed.</t>
  </si>
  <si>
    <t xml:space="preserve">pipeline_stall</t>
  </si>
  <si>
    <t xml:space="preserve">Role in Interviewing stage for 91+ calendar days from req open. No forward movement visible in dataset. HM to update stage or confirm candidate status.</t>
  </si>
  <si>
    <t xml:space="preserve">hm_capacity</t>
  </si>
  <si>
    <t xml:space="preserve">REQ-104/601/701</t>
  </si>
  <si>
    <t xml:space="preserve">Multiple</t>
  </si>
  <si>
    <t xml:space="preserve">EMP-1002 (VP Engineering) is named hiring manager on 3 active requisitions simultaneously. Monitor for pipeline slowdown; consider delegating one req.</t>
  </si>
  <si>
    <t xml:space="preserve">not_yet_open</t>
  </si>
  <si>
    <t xml:space="preserve">Backfill for departed Content Associate has not yet been posted. HR approval required. Each week of delay extends the risk window and increases team workload.</t>
  </si>
  <si>
    <t xml:space="preserve">LOW</t>
  </si>
  <si>
    <t xml:space="preserve">dept_exposure</t>
  </si>
  <si>
    <t xml:space="preserve">Engineering annualised exposure of $1.33M exceeds the $500K department trigger. Route to FP&amp;A for Q4 reforecast discussion. 3 of 5 eng roles are flagged.</t>
  </si>
  <si>
    <t xml:space="preserve">Audit Trail</t>
  </si>
  <si>
    <t xml:space="preserve">Agent</t>
  </si>
  <si>
    <t xml:space="preserve">hiring-pipeline v0.1.0</t>
  </si>
  <si>
    <t xml:space="preserve">Run Timestamp</t>
  </si>
  <si>
    <t xml:space="preserve">2026-12-02T09:00:00Z</t>
  </si>
  <si>
    <t xml:space="preserve">Snapshot Date</t>
  </si>
  <si>
    <t xml:space="preserve">2026-11-30</t>
  </si>
  <si>
    <t xml:space="preserve">LuminaUS (primary); EMEA/APAC noted separately)</t>
  </si>
  <si>
    <t xml:space="preserve">Source — Pipeline</t>
  </si>
  <si>
    <t xml:space="preserve">data/synthetic/lumina_headcount_dataset.xlsx | Sheet: Open_Pipeline</t>
  </si>
  <si>
    <t xml:space="preserve">Source — Budget</t>
  </si>
  <si>
    <t xml:space="preserve">data/synthetic/lumina_headcount_dataset.xlsx | Sheet: Headcount_Budget</t>
  </si>
  <si>
    <t xml:space="preserve">Source — Roster</t>
  </si>
  <si>
    <t xml:space="preserve">data/synthetic/lumina_headcount_dataset.xlsx | Sheet: Headcount_Roster</t>
  </si>
  <si>
    <t xml:space="preserve">Loading Factor</t>
  </si>
  <si>
    <t xml:space="preserve">1.25 (Lumina standard — base × employer taxes, benefits, equity)</t>
  </si>
  <si>
    <t xml:space="preserve">Budget Exposure</t>
  </si>
  <si>
    <t xml:space="preserve">Annualised fully loaded cost per open role (not stub-period)</t>
  </si>
  <si>
    <t xml:space="preserve">Risk Flag Threshold</t>
  </si>
  <si>
    <t xml:space="preserve">Days past target start &gt; 30 days</t>
  </si>
  <si>
    <t xml:space="preserve">Dept Trigger</t>
  </si>
  <si>
    <t xml:space="preserve">$50K AND 5% (variance); $150K single role / $500K dept (exposure)</t>
  </si>
  <si>
    <t xml:space="preserve">Skills Applied</t>
  </si>
  <si>
    <t xml:space="preserve">headcount-analysis, people-cost-forecast, finance-conventions</t>
  </si>
  <si>
    <t xml:space="preserve">Human Reviewer</t>
  </si>
  <si>
    <t xml:space="preserve">— (pending sign-off)</t>
  </si>
  <si>
    <t xml:space="preserve">Report Path</t>
  </si>
  <si>
    <t xml:space="preserve">outputs/2026-11/hiring-pipeline/2026-11_LuminaUS_PipelineStatus_v1.xlsx</t>
  </si>
  <si>
    <t xml:space="preserve">Memo Path</t>
  </si>
  <si>
    <t xml:space="preserve">outputs/2026-11/hiring-pipeline/2026-11_LuminaUS_PipelineStatus_v1_memo.md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</si>
</sst>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\$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sz val="10"/>
      <color rgb="FF1E6B3C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0"/>
      <color rgb="FF2E509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4472C4"/>
        <bgColor rgb="FF2E5090"/>
      </patternFill>
    </fill>
    <fill>
      <patternFill patternType="solid">
        <fgColor rgb="FF1E6B3C"/>
        <bgColor rgb="FF008080"/>
      </patternFill>
    </fill>
    <fill>
      <patternFill patternType="solid">
        <fgColor rgb="FF7F6000"/>
        <bgColor rgb="FF595959"/>
      </patternFill>
    </fill>
    <fill>
      <patternFill patternType="solid">
        <fgColor rgb="FFC00000"/>
        <bgColor rgb="FF800000"/>
      </patternFill>
    </fill>
    <fill>
      <patternFill patternType="solid">
        <fgColor rgb="FF2E5090"/>
        <bgColor rgb="FF1F3864"/>
      </patternFill>
    </fill>
    <fill>
      <patternFill patternType="solid">
        <fgColor rgb="FFFFD7D7"/>
        <bgColor rgb="FFFFF3CD"/>
      </patternFill>
    </fill>
    <fill>
      <patternFill patternType="solid">
        <fgColor rgb="FFFFF3CD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D6F5E3"/>
        <bgColor rgb="FFCCFFFF"/>
      </patternFill>
    </fill>
    <fill>
      <patternFill patternType="solid">
        <fgColor rgb="FFD6E4F0"/>
        <bgColor rgb="FFD6F5E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E6B3C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3CD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F5E3"/>
      <rgbColor rgb="FFFFFF99"/>
      <rgbColor rgb="FF99CCFF"/>
      <rgbColor rgb="FFFF99CC"/>
      <rgbColor rgb="FFCC99FF"/>
      <rgbColor rgb="FFFFD7D7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09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24"/>
    <col collapsed="false" customWidth="true" hidden="false" outlineLevel="0" max="6" min="6" style="0" width="16"/>
    <col collapsed="false" customWidth="true" hidden="false" outlineLevel="0" max="7" min="7" style="0" width="28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7.75" hidden="false" customHeight="true" outlineLevel="0" collapsed="false">
      <c r="A4" s="3" t="s">
        <v>2</v>
      </c>
      <c r="B4" s="4" t="s">
        <v>3</v>
      </c>
      <c r="C4" s="5" t="s">
        <v>4</v>
      </c>
      <c r="D4" s="6" t="s">
        <v>5</v>
      </c>
      <c r="E4" s="6" t="s">
        <v>6</v>
      </c>
      <c r="F4" s="5" t="s">
        <v>7</v>
      </c>
      <c r="G4" s="7" t="s">
        <v>8</v>
      </c>
    </row>
    <row r="5" customFormat="false" ht="36" hidden="false" customHeight="true" outlineLevel="0" collapsed="false">
      <c r="A5" s="8" t="n">
        <f aca="false">Pipeline_Detail!B2</f>
        <v>11</v>
      </c>
      <c r="B5" s="9" t="n">
        <f aca="false">Pipeline_Detail!B3</f>
        <v>2</v>
      </c>
      <c r="C5" s="10" t="n">
        <f aca="false">Pipeline_Detail!B4</f>
        <v>2</v>
      </c>
      <c r="D5" s="11" t="n">
        <f aca="false">Pipeline_Detail!B5</f>
        <v>4</v>
      </c>
      <c r="E5" s="11" t="n">
        <f aca="false">Pipeline_Detail!B6</f>
        <v>0</v>
      </c>
      <c r="F5" s="12" t="n">
        <f aca="false">Pipeline_Detail!B8</f>
        <v>1326250</v>
      </c>
      <c r="G5" s="13" t="n">
        <f aca="false">Pipeline_Detail!B9</f>
        <v>2305000</v>
      </c>
    </row>
    <row r="7" customFormat="false" ht="15" hidden="false" customHeight="true" outlineLevel="0" collapsed="false">
      <c r="A7" s="14" t="s">
        <v>9</v>
      </c>
      <c r="B7" s="14"/>
      <c r="C7" s="14"/>
      <c r="D7" s="14"/>
      <c r="E7" s="14"/>
      <c r="F7" s="14"/>
      <c r="G7" s="14"/>
    </row>
    <row r="8" customFormat="false" ht="15" hidden="false" customHeight="false" outlineLevel="0" collapsed="false">
      <c r="A8" s="15" t="s">
        <v>10</v>
      </c>
      <c r="B8" s="15" t="s">
        <v>11</v>
      </c>
      <c r="C8" s="15" t="s">
        <v>6</v>
      </c>
      <c r="D8" s="15" t="s">
        <v>12</v>
      </c>
      <c r="E8" s="15" t="s">
        <v>13</v>
      </c>
      <c r="F8" s="15" t="s">
        <v>14</v>
      </c>
      <c r="G8" s="15" t="s">
        <v>15</v>
      </c>
    </row>
    <row r="9" customFormat="false" ht="15" hidden="false" customHeight="false" outlineLevel="0" collapsed="false">
      <c r="A9" s="16" t="s">
        <v>16</v>
      </c>
      <c r="B9" s="17" t="n">
        <v>5</v>
      </c>
      <c r="C9" s="17" t="n">
        <v>3</v>
      </c>
      <c r="D9" s="18" t="n">
        <v>1326250</v>
      </c>
      <c r="E9" s="19" t="s">
        <v>17</v>
      </c>
      <c r="F9" s="17" t="s">
        <v>18</v>
      </c>
      <c r="G9" s="17" t="s">
        <v>19</v>
      </c>
    </row>
    <row r="10" customFormat="false" ht="15" hidden="false" customHeight="false" outlineLevel="0" collapsed="false">
      <c r="A10" s="20" t="s">
        <v>20</v>
      </c>
      <c r="B10" s="21" t="n">
        <v>2</v>
      </c>
      <c r="C10" s="21" t="n">
        <v>1</v>
      </c>
      <c r="D10" s="22" t="n">
        <v>232500</v>
      </c>
      <c r="E10" s="21" t="s">
        <v>21</v>
      </c>
      <c r="F10" s="21" t="s">
        <v>22</v>
      </c>
      <c r="G10" s="21" t="s">
        <v>23</v>
      </c>
    </row>
    <row r="11" customFormat="false" ht="15" hidden="false" customHeight="false" outlineLevel="0" collapsed="false">
      <c r="A11" s="23" t="s">
        <v>24</v>
      </c>
      <c r="B11" s="24" t="n">
        <v>2</v>
      </c>
      <c r="C11" s="24" t="n">
        <v>0</v>
      </c>
      <c r="D11" s="25" t="n">
        <v>330000</v>
      </c>
      <c r="E11" s="24" t="s">
        <v>21</v>
      </c>
      <c r="F11" s="24" t="s">
        <v>25</v>
      </c>
      <c r="G11" s="24" t="s">
        <v>26</v>
      </c>
    </row>
    <row r="12" customFormat="false" ht="15" hidden="false" customHeight="false" outlineLevel="0" collapsed="false">
      <c r="A12" s="23" t="s">
        <v>27</v>
      </c>
      <c r="B12" s="24" t="n">
        <v>2</v>
      </c>
      <c r="C12" s="24" t="n">
        <v>0</v>
      </c>
      <c r="D12" s="25" t="n">
        <v>297500</v>
      </c>
      <c r="E12" s="24" t="s">
        <v>21</v>
      </c>
      <c r="F12" s="24" t="s">
        <v>25</v>
      </c>
      <c r="G12" s="24" t="s">
        <v>28</v>
      </c>
    </row>
    <row r="13" customFormat="false" ht="15" hidden="false" customHeight="false" outlineLevel="0" collapsed="false">
      <c r="A13" s="23" t="s">
        <v>29</v>
      </c>
      <c r="B13" s="24" t="n">
        <v>1</v>
      </c>
      <c r="C13" s="24" t="n">
        <v>0</v>
      </c>
      <c r="D13" s="25" t="n">
        <v>118750</v>
      </c>
      <c r="E13" s="24" t="s">
        <v>21</v>
      </c>
      <c r="F13" s="24" t="s">
        <v>25</v>
      </c>
      <c r="G13" s="24" t="s">
        <v>30</v>
      </c>
    </row>
    <row r="14" customFormat="false" ht="15" hidden="false" customHeight="false" outlineLevel="0" collapsed="false">
      <c r="A14" s="26" t="s">
        <v>31</v>
      </c>
      <c r="B14" s="27" t="n">
        <v>12</v>
      </c>
      <c r="C14" s="27" t="n">
        <v>4</v>
      </c>
      <c r="D14" s="28" t="n">
        <v>2305000</v>
      </c>
      <c r="E14" s="27"/>
      <c r="F14" s="27"/>
      <c r="G14" s="27"/>
    </row>
    <row r="16" customFormat="false" ht="15" hidden="false" customHeight="true" outlineLevel="0" collapsed="false">
      <c r="A16" s="29" t="s">
        <v>32</v>
      </c>
      <c r="B16" s="29"/>
      <c r="C16" s="29"/>
      <c r="D16" s="29"/>
      <c r="E16" s="29"/>
      <c r="F16" s="29"/>
      <c r="G16" s="29"/>
    </row>
    <row r="17" customFormat="false" ht="15" hidden="false" customHeight="false" outlineLevel="0" collapsed="false">
      <c r="A17" s="30" t="s">
        <v>33</v>
      </c>
      <c r="B17" s="30" t="s">
        <v>34</v>
      </c>
      <c r="C17" s="30" t="s">
        <v>35</v>
      </c>
      <c r="D17" s="30" t="s">
        <v>36</v>
      </c>
      <c r="E17" s="30" t="s">
        <v>37</v>
      </c>
      <c r="F17" s="30" t="s">
        <v>38</v>
      </c>
      <c r="G17" s="30" t="s">
        <v>39</v>
      </c>
    </row>
    <row r="18" customFormat="false" ht="35.05" hidden="false" customHeight="false" outlineLevel="0" collapsed="false">
      <c r="A18" s="17" t="s">
        <v>40</v>
      </c>
      <c r="B18" s="17" t="s">
        <v>16</v>
      </c>
      <c r="C18" s="31" t="s">
        <v>41</v>
      </c>
      <c r="D18" s="17" t="n">
        <v>61</v>
      </c>
      <c r="E18" s="17" t="s">
        <v>42</v>
      </c>
      <c r="F18" s="18" t="n">
        <v>275000</v>
      </c>
      <c r="G18" s="31" t="s">
        <v>43</v>
      </c>
    </row>
    <row r="19" customFormat="false" ht="35.05" hidden="false" customHeight="false" outlineLevel="0" collapsed="false">
      <c r="A19" s="17" t="s">
        <v>44</v>
      </c>
      <c r="B19" s="17" t="s">
        <v>16</v>
      </c>
      <c r="C19" s="31" t="s">
        <v>45</v>
      </c>
      <c r="D19" s="17" t="n">
        <v>90</v>
      </c>
      <c r="E19" s="17" t="s">
        <v>46</v>
      </c>
      <c r="F19" s="18" t="n">
        <v>222500</v>
      </c>
      <c r="G19" s="31" t="s">
        <v>47</v>
      </c>
    </row>
    <row r="20" customFormat="false" ht="35.05" hidden="false" customHeight="false" outlineLevel="0" collapsed="false">
      <c r="A20" s="21" t="s">
        <v>48</v>
      </c>
      <c r="B20" s="21" t="s">
        <v>16</v>
      </c>
      <c r="C20" s="32" t="s">
        <v>45</v>
      </c>
      <c r="D20" s="21" t="n">
        <v>46</v>
      </c>
      <c r="E20" s="21" t="s">
        <v>49</v>
      </c>
      <c r="F20" s="22" t="n">
        <v>220000</v>
      </c>
      <c r="G20" s="32" t="s">
        <v>50</v>
      </c>
    </row>
    <row r="21" customFormat="false" ht="35.05" hidden="false" customHeight="false" outlineLevel="0" collapsed="false">
      <c r="A21" s="21" t="s">
        <v>51</v>
      </c>
      <c r="B21" s="21" t="s">
        <v>20</v>
      </c>
      <c r="C21" s="32" t="s">
        <v>52</v>
      </c>
      <c r="D21" s="21" t="n">
        <v>46</v>
      </c>
      <c r="E21" s="21" t="s">
        <v>53</v>
      </c>
      <c r="F21" s="22" t="n">
        <v>102500</v>
      </c>
      <c r="G21" s="32" t="s">
        <v>54</v>
      </c>
    </row>
    <row r="23" customFormat="false" ht="15" hidden="false" customHeight="true" outlineLevel="0" collapsed="false">
      <c r="A23" s="33" t="s">
        <v>55</v>
      </c>
      <c r="B23" s="33"/>
      <c r="C23" s="33"/>
      <c r="D23" s="33"/>
      <c r="E23" s="33"/>
      <c r="F23" s="33"/>
      <c r="G23" s="33"/>
    </row>
    <row r="24" customFormat="false" ht="18" hidden="false" customHeight="true" outlineLevel="0" collapsed="false">
      <c r="A24" s="15" t="s">
        <v>56</v>
      </c>
      <c r="B24" s="15" t="s">
        <v>57</v>
      </c>
      <c r="C24" s="15"/>
      <c r="D24" s="15"/>
      <c r="E24" s="15"/>
      <c r="F24" s="15"/>
      <c r="G24" s="15"/>
    </row>
    <row r="25" customFormat="false" ht="30" hidden="false" customHeight="true" outlineLevel="0" collapsed="false">
      <c r="A25" s="34" t="s">
        <v>58</v>
      </c>
      <c r="B25" s="32" t="s">
        <v>59</v>
      </c>
      <c r="C25" s="32"/>
      <c r="D25" s="32"/>
      <c r="E25" s="32"/>
      <c r="F25" s="32"/>
      <c r="G25" s="32"/>
    </row>
    <row r="26" customFormat="false" ht="30" hidden="false" customHeight="true" outlineLevel="0" collapsed="false">
      <c r="A26" s="35" t="s">
        <v>60</v>
      </c>
      <c r="B26" s="36" t="s">
        <v>61</v>
      </c>
      <c r="C26" s="36"/>
      <c r="D26" s="36"/>
      <c r="E26" s="36"/>
      <c r="F26" s="36"/>
      <c r="G26" s="36"/>
    </row>
    <row r="27" customFormat="false" ht="30" hidden="false" customHeight="true" outlineLevel="0" collapsed="false">
      <c r="A27" s="34" t="s">
        <v>60</v>
      </c>
      <c r="B27" s="32" t="s">
        <v>62</v>
      </c>
      <c r="C27" s="32"/>
      <c r="D27" s="32"/>
      <c r="E27" s="32"/>
      <c r="F27" s="32"/>
      <c r="G27" s="32"/>
    </row>
    <row r="28" customFormat="false" ht="30" hidden="false" customHeight="true" outlineLevel="0" collapsed="false">
      <c r="A28" s="35" t="s">
        <v>63</v>
      </c>
      <c r="B28" s="36" t="s">
        <v>64</v>
      </c>
      <c r="C28" s="36"/>
      <c r="D28" s="36"/>
      <c r="E28" s="36"/>
      <c r="F28" s="36"/>
      <c r="G28" s="36"/>
    </row>
    <row r="29" customFormat="false" ht="30" hidden="false" customHeight="true" outlineLevel="0" collapsed="false">
      <c r="A29" s="34" t="s">
        <v>65</v>
      </c>
      <c r="B29" s="32" t="s">
        <v>66</v>
      </c>
      <c r="C29" s="32"/>
      <c r="D29" s="32"/>
      <c r="E29" s="32"/>
      <c r="F29" s="32"/>
      <c r="G29" s="32"/>
    </row>
  </sheetData>
  <mergeCells count="10">
    <mergeCell ref="A1:K1"/>
    <mergeCell ref="A2:K2"/>
    <mergeCell ref="A7:G7"/>
    <mergeCell ref="A16:G16"/>
    <mergeCell ref="A23:G23"/>
    <mergeCell ref="B25:G25"/>
    <mergeCell ref="B26:G26"/>
    <mergeCell ref="B27:G27"/>
    <mergeCell ref="B28:G28"/>
    <mergeCell ref="B29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7"/>
    <col collapsed="false" customWidth="true" hidden="false" outlineLevel="0" max="5" min="5" style="0" width="24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7"/>
    <col collapsed="false" customWidth="true" hidden="false" outlineLevel="0" max="10" min="10" style="0" width="20"/>
    <col collapsed="false" customWidth="true" hidden="false" outlineLevel="0" max="11" min="11" style="0" width="16"/>
    <col collapsed="false" customWidth="true" hidden="false" outlineLevel="0" max="12" min="12" style="0" width="15"/>
    <col collapsed="false" customWidth="true" hidden="false" outlineLevel="0" max="13" min="13" style="0" width="10"/>
    <col collapsed="false" customWidth="true" hidden="false" outlineLevel="0" max="14" min="14" style="0" width="40"/>
  </cols>
  <sheetData>
    <row r="1" customFormat="false" ht="15" hidden="false" customHeight="false" outlineLevel="0" collapsed="false">
      <c r="A1" s="0" t="s">
        <v>67</v>
      </c>
      <c r="B1" s="0" t="n">
        <v>15</v>
      </c>
    </row>
    <row r="2" customFormat="false" ht="15" hidden="false" customHeight="false" outlineLevel="0" collapsed="false">
      <c r="A2" s="0" t="s">
        <v>3</v>
      </c>
      <c r="B2" s="0" t="n">
        <v>11</v>
      </c>
    </row>
    <row r="3" customFormat="false" ht="15" hidden="false" customHeight="false" outlineLevel="0" collapsed="false">
      <c r="A3" s="0" t="s">
        <v>4</v>
      </c>
      <c r="B3" s="0" t="n">
        <v>2</v>
      </c>
    </row>
    <row r="4" customFormat="false" ht="15" hidden="false" customHeight="false" outlineLevel="0" collapsed="false">
      <c r="A4" s="0" t="s">
        <v>5</v>
      </c>
      <c r="B4" s="0" t="n">
        <v>2</v>
      </c>
    </row>
    <row r="5" customFormat="false" ht="15" hidden="false" customHeight="false" outlineLevel="0" collapsed="false">
      <c r="A5" s="0" t="s">
        <v>68</v>
      </c>
      <c r="B5" s="0" t="n">
        <v>4</v>
      </c>
    </row>
    <row r="6" customFormat="false" ht="15" hidden="false" customHeight="false" outlineLevel="0" collapsed="false">
      <c r="A6" s="0" t="s">
        <v>69</v>
      </c>
      <c r="B6" s="0" t="n">
        <v>0</v>
      </c>
    </row>
    <row r="7" customFormat="false" ht="15" hidden="false" customHeight="false" outlineLevel="0" collapsed="false">
      <c r="A7" s="0" t="s">
        <v>70</v>
      </c>
      <c r="B7" s="0" t="n">
        <v>820000</v>
      </c>
    </row>
    <row r="8" customFormat="false" ht="15" hidden="false" customHeight="false" outlineLevel="0" collapsed="false">
      <c r="A8" s="0" t="s">
        <v>71</v>
      </c>
      <c r="B8" s="0" t="n">
        <v>1326250</v>
      </c>
    </row>
    <row r="9" customFormat="false" ht="15" hidden="false" customHeight="false" outlineLevel="0" collapsed="false">
      <c r="A9" s="0" t="s">
        <v>72</v>
      </c>
      <c r="B9" s="0" t="n">
        <v>2305000</v>
      </c>
    </row>
    <row r="11" customFormat="false" ht="15" hidden="false" customHeight="true" outlineLevel="0" collapsed="false">
      <c r="A11" s="1" t="s">
        <v>73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customFormat="false" ht="15" hidden="false" customHeight="false" outlineLevel="0" collapsed="false">
      <c r="A12" s="37" t="s">
        <v>33</v>
      </c>
      <c r="B12" s="37" t="s">
        <v>34</v>
      </c>
      <c r="C12" s="37" t="s">
        <v>74</v>
      </c>
      <c r="D12" s="37" t="s">
        <v>75</v>
      </c>
      <c r="E12" s="37" t="s">
        <v>35</v>
      </c>
      <c r="F12" s="37" t="s">
        <v>76</v>
      </c>
      <c r="G12" s="37" t="s">
        <v>36</v>
      </c>
      <c r="H12" s="37" t="s">
        <v>77</v>
      </c>
      <c r="I12" s="37" t="s">
        <v>78</v>
      </c>
      <c r="J12" s="37" t="s">
        <v>79</v>
      </c>
      <c r="K12" s="37" t="s">
        <v>37</v>
      </c>
      <c r="L12" s="37" t="s">
        <v>80</v>
      </c>
      <c r="M12" s="37" t="s">
        <v>81</v>
      </c>
      <c r="N12" s="37" t="s">
        <v>82</v>
      </c>
    </row>
    <row r="13" customFormat="false" ht="15" hidden="false" customHeight="false" outlineLevel="0" collapsed="false">
      <c r="A13" s="38" t="s">
        <v>44</v>
      </c>
      <c r="B13" s="38" t="s">
        <v>16</v>
      </c>
      <c r="C13" s="38" t="s">
        <v>83</v>
      </c>
      <c r="D13" s="38" t="s">
        <v>84</v>
      </c>
      <c r="E13" s="39" t="s">
        <v>45</v>
      </c>
      <c r="F13" s="38" t="s">
        <v>85</v>
      </c>
      <c r="G13" s="38" t="n">
        <v>90</v>
      </c>
      <c r="H13" s="19" t="s">
        <v>18</v>
      </c>
      <c r="I13" s="40" t="n">
        <v>178000</v>
      </c>
      <c r="J13" s="40" t="n">
        <v>222500</v>
      </c>
      <c r="K13" s="38" t="s">
        <v>46</v>
      </c>
      <c r="L13" s="38" t="s">
        <v>86</v>
      </c>
      <c r="M13" s="38" t="s">
        <v>87</v>
      </c>
      <c r="N13" s="39" t="s">
        <v>88</v>
      </c>
    </row>
    <row r="14" customFormat="false" ht="15" hidden="false" customHeight="false" outlineLevel="0" collapsed="false">
      <c r="A14" s="24" t="s">
        <v>40</v>
      </c>
      <c r="B14" s="24" t="s">
        <v>16</v>
      </c>
      <c r="C14" s="24" t="s">
        <v>83</v>
      </c>
      <c r="D14" s="24" t="s">
        <v>89</v>
      </c>
      <c r="E14" s="36" t="s">
        <v>41</v>
      </c>
      <c r="F14" s="24" t="s">
        <v>90</v>
      </c>
      <c r="G14" s="24" t="n">
        <v>61</v>
      </c>
      <c r="H14" s="19" t="s">
        <v>18</v>
      </c>
      <c r="I14" s="41" t="n">
        <v>220000</v>
      </c>
      <c r="J14" s="41" t="n">
        <v>275000</v>
      </c>
      <c r="K14" s="24" t="s">
        <v>42</v>
      </c>
      <c r="L14" s="24" t="s">
        <v>91</v>
      </c>
      <c r="M14" s="24" t="s">
        <v>87</v>
      </c>
      <c r="N14" s="36" t="s">
        <v>92</v>
      </c>
    </row>
    <row r="15" customFormat="false" ht="15" hidden="false" customHeight="false" outlineLevel="0" collapsed="false">
      <c r="A15" s="38" t="s">
        <v>48</v>
      </c>
      <c r="B15" s="38" t="s">
        <v>16</v>
      </c>
      <c r="C15" s="38" t="s">
        <v>83</v>
      </c>
      <c r="D15" s="38" t="s">
        <v>84</v>
      </c>
      <c r="E15" s="39" t="s">
        <v>45</v>
      </c>
      <c r="F15" s="38" t="s">
        <v>93</v>
      </c>
      <c r="G15" s="38" t="n">
        <v>46</v>
      </c>
      <c r="H15" s="42" t="s">
        <v>22</v>
      </c>
      <c r="I15" s="40" t="n">
        <v>176000</v>
      </c>
      <c r="J15" s="40" t="n">
        <v>220000</v>
      </c>
      <c r="K15" s="38" t="s">
        <v>49</v>
      </c>
      <c r="L15" s="38" t="s">
        <v>94</v>
      </c>
      <c r="M15" s="38" t="s">
        <v>87</v>
      </c>
      <c r="N15" s="39" t="s">
        <v>95</v>
      </c>
    </row>
    <row r="16" customFormat="false" ht="15" hidden="false" customHeight="false" outlineLevel="0" collapsed="false">
      <c r="A16" s="24" t="s">
        <v>96</v>
      </c>
      <c r="B16" s="24" t="s">
        <v>16</v>
      </c>
      <c r="C16" s="24" t="s">
        <v>83</v>
      </c>
      <c r="D16" s="24" t="s">
        <v>97</v>
      </c>
      <c r="E16" s="36" t="s">
        <v>98</v>
      </c>
      <c r="F16" s="24" t="s">
        <v>99</v>
      </c>
      <c r="G16" s="24" t="n">
        <v>0</v>
      </c>
      <c r="H16" s="43" t="s">
        <v>3</v>
      </c>
      <c r="I16" s="41" t="n">
        <v>265000</v>
      </c>
      <c r="J16" s="41" t="n">
        <v>331250</v>
      </c>
      <c r="K16" s="24" t="s">
        <v>100</v>
      </c>
      <c r="L16" s="24" t="s">
        <v>101</v>
      </c>
      <c r="M16" s="24" t="s">
        <v>25</v>
      </c>
      <c r="N16" s="36" t="s">
        <v>102</v>
      </c>
    </row>
    <row r="17" customFormat="false" ht="15" hidden="false" customHeight="false" outlineLevel="0" collapsed="false">
      <c r="A17" s="38" t="s">
        <v>103</v>
      </c>
      <c r="B17" s="38" t="s">
        <v>16</v>
      </c>
      <c r="C17" s="38" t="s">
        <v>83</v>
      </c>
      <c r="D17" s="38" t="s">
        <v>89</v>
      </c>
      <c r="E17" s="39" t="s">
        <v>41</v>
      </c>
      <c r="F17" s="38" t="s">
        <v>104</v>
      </c>
      <c r="G17" s="38" t="n">
        <v>0</v>
      </c>
      <c r="H17" s="43" t="s">
        <v>3</v>
      </c>
      <c r="I17" s="40" t="n">
        <v>222000</v>
      </c>
      <c r="J17" s="40" t="n">
        <v>277500</v>
      </c>
      <c r="K17" s="38" t="s">
        <v>49</v>
      </c>
      <c r="L17" s="38" t="s">
        <v>105</v>
      </c>
      <c r="M17" s="38" t="s">
        <v>25</v>
      </c>
      <c r="N17" s="39" t="s">
        <v>102</v>
      </c>
    </row>
    <row r="18" customFormat="false" ht="23.85" hidden="false" customHeight="false" outlineLevel="0" collapsed="false">
      <c r="A18" s="24" t="s">
        <v>51</v>
      </c>
      <c r="B18" s="24" t="s">
        <v>20</v>
      </c>
      <c r="C18" s="24" t="s">
        <v>83</v>
      </c>
      <c r="D18" s="24" t="s">
        <v>84</v>
      </c>
      <c r="E18" s="36" t="s">
        <v>52</v>
      </c>
      <c r="F18" s="24" t="s">
        <v>93</v>
      </c>
      <c r="G18" s="24" t="n">
        <v>46</v>
      </c>
      <c r="H18" s="42" t="s">
        <v>22</v>
      </c>
      <c r="I18" s="41" t="n">
        <v>82000</v>
      </c>
      <c r="J18" s="41" t="n">
        <v>102500</v>
      </c>
      <c r="K18" s="24" t="s">
        <v>53</v>
      </c>
      <c r="L18" s="24" t="s">
        <v>106</v>
      </c>
      <c r="M18" s="24" t="s">
        <v>87</v>
      </c>
      <c r="N18" s="36" t="s">
        <v>107</v>
      </c>
    </row>
    <row r="19" customFormat="false" ht="15" hidden="false" customHeight="false" outlineLevel="0" collapsed="false">
      <c r="A19" s="38" t="s">
        <v>108</v>
      </c>
      <c r="B19" s="38" t="s">
        <v>20</v>
      </c>
      <c r="C19" s="38" t="s">
        <v>83</v>
      </c>
      <c r="D19" s="38" t="s">
        <v>89</v>
      </c>
      <c r="E19" s="39" t="s">
        <v>109</v>
      </c>
      <c r="F19" s="38" t="s">
        <v>110</v>
      </c>
      <c r="G19" s="38" t="n">
        <v>0</v>
      </c>
      <c r="H19" s="43" t="s">
        <v>3</v>
      </c>
      <c r="I19" s="40" t="n">
        <v>104000</v>
      </c>
      <c r="J19" s="40" t="n">
        <v>130000</v>
      </c>
      <c r="K19" s="38" t="s">
        <v>49</v>
      </c>
      <c r="L19" s="38" t="s">
        <v>111</v>
      </c>
      <c r="M19" s="38" t="s">
        <v>25</v>
      </c>
      <c r="N19" s="39" t="s">
        <v>102</v>
      </c>
    </row>
    <row r="20" customFormat="false" ht="15" hidden="false" customHeight="false" outlineLevel="0" collapsed="false">
      <c r="A20" s="24" t="s">
        <v>112</v>
      </c>
      <c r="B20" s="24" t="s">
        <v>24</v>
      </c>
      <c r="C20" s="24" t="s">
        <v>83</v>
      </c>
      <c r="D20" s="24" t="s">
        <v>84</v>
      </c>
      <c r="E20" s="36" t="s">
        <v>113</v>
      </c>
      <c r="F20" s="24" t="s">
        <v>99</v>
      </c>
      <c r="G20" s="24" t="n">
        <v>0</v>
      </c>
      <c r="H20" s="43" t="s">
        <v>3</v>
      </c>
      <c r="I20" s="41" t="n">
        <v>102000</v>
      </c>
      <c r="J20" s="41" t="n">
        <v>127500</v>
      </c>
      <c r="K20" s="24" t="s">
        <v>46</v>
      </c>
      <c r="L20" s="24" t="s">
        <v>114</v>
      </c>
      <c r="M20" s="24" t="s">
        <v>25</v>
      </c>
      <c r="N20" s="36" t="s">
        <v>102</v>
      </c>
    </row>
    <row r="21" customFormat="false" ht="15" hidden="false" customHeight="false" outlineLevel="0" collapsed="false">
      <c r="A21" s="38" t="s">
        <v>115</v>
      </c>
      <c r="B21" s="38" t="s">
        <v>24</v>
      </c>
      <c r="C21" s="38" t="s">
        <v>83</v>
      </c>
      <c r="D21" s="38" t="s">
        <v>89</v>
      </c>
      <c r="E21" s="39" t="s">
        <v>116</v>
      </c>
      <c r="F21" s="38" t="s">
        <v>117</v>
      </c>
      <c r="G21" s="38" t="n">
        <v>0</v>
      </c>
      <c r="H21" s="43" t="s">
        <v>3</v>
      </c>
      <c r="I21" s="40" t="n">
        <v>162000</v>
      </c>
      <c r="J21" s="40" t="n">
        <v>202500</v>
      </c>
      <c r="K21" s="38" t="s">
        <v>49</v>
      </c>
      <c r="L21" s="38" t="s">
        <v>118</v>
      </c>
      <c r="M21" s="38" t="s">
        <v>25</v>
      </c>
      <c r="N21" s="39" t="s">
        <v>102</v>
      </c>
    </row>
    <row r="22" customFormat="false" ht="15" hidden="false" customHeight="false" outlineLevel="0" collapsed="false">
      <c r="A22" s="24" t="s">
        <v>119</v>
      </c>
      <c r="B22" s="24" t="s">
        <v>29</v>
      </c>
      <c r="C22" s="24" t="s">
        <v>83</v>
      </c>
      <c r="D22" s="24" t="s">
        <v>84</v>
      </c>
      <c r="E22" s="36" t="s">
        <v>120</v>
      </c>
      <c r="F22" s="24" t="s">
        <v>104</v>
      </c>
      <c r="G22" s="24" t="n">
        <v>0</v>
      </c>
      <c r="H22" s="43" t="s">
        <v>3</v>
      </c>
      <c r="I22" s="41" t="n">
        <v>95000</v>
      </c>
      <c r="J22" s="41" t="n">
        <v>118750</v>
      </c>
      <c r="K22" s="24" t="s">
        <v>49</v>
      </c>
      <c r="L22" s="24" t="s">
        <v>121</v>
      </c>
      <c r="M22" s="24" t="s">
        <v>25</v>
      </c>
      <c r="N22" s="36" t="s">
        <v>122</v>
      </c>
    </row>
    <row r="23" customFormat="false" ht="15" hidden="false" customHeight="false" outlineLevel="0" collapsed="false">
      <c r="A23" s="38" t="s">
        <v>123</v>
      </c>
      <c r="B23" s="38" t="s">
        <v>27</v>
      </c>
      <c r="C23" s="38" t="s">
        <v>83</v>
      </c>
      <c r="D23" s="38" t="s">
        <v>89</v>
      </c>
      <c r="E23" s="39" t="s">
        <v>124</v>
      </c>
      <c r="F23" s="38" t="s">
        <v>104</v>
      </c>
      <c r="G23" s="38" t="n">
        <v>0</v>
      </c>
      <c r="H23" s="43" t="s">
        <v>3</v>
      </c>
      <c r="I23" s="40" t="n">
        <v>150000</v>
      </c>
      <c r="J23" s="40" t="n">
        <v>187500</v>
      </c>
      <c r="K23" s="38" t="s">
        <v>49</v>
      </c>
      <c r="L23" s="38" t="s">
        <v>125</v>
      </c>
      <c r="M23" s="38" t="s">
        <v>25</v>
      </c>
      <c r="N23" s="39" t="s">
        <v>126</v>
      </c>
    </row>
    <row r="24" customFormat="false" ht="15" hidden="false" customHeight="false" outlineLevel="0" collapsed="false">
      <c r="A24" s="24" t="s">
        <v>127</v>
      </c>
      <c r="B24" s="24" t="s">
        <v>27</v>
      </c>
      <c r="C24" s="24" t="s">
        <v>83</v>
      </c>
      <c r="D24" s="24" t="s">
        <v>84</v>
      </c>
      <c r="E24" s="36" t="s">
        <v>128</v>
      </c>
      <c r="F24" s="24" t="s">
        <v>117</v>
      </c>
      <c r="G24" s="24" t="n">
        <v>0</v>
      </c>
      <c r="H24" s="43" t="s">
        <v>3</v>
      </c>
      <c r="I24" s="41" t="n">
        <v>88000</v>
      </c>
      <c r="J24" s="41" t="n">
        <v>110000</v>
      </c>
      <c r="K24" s="24" t="s">
        <v>63</v>
      </c>
      <c r="L24" s="24" t="s">
        <v>125</v>
      </c>
      <c r="M24" s="24" t="s">
        <v>25</v>
      </c>
      <c r="N24" s="36" t="s">
        <v>129</v>
      </c>
    </row>
    <row r="25" customFormat="false" ht="15" hidden="false" customHeight="false" outlineLevel="0" collapsed="false">
      <c r="A25" s="38" t="s">
        <v>130</v>
      </c>
      <c r="B25" s="38" t="s">
        <v>16</v>
      </c>
      <c r="C25" s="38" t="s">
        <v>131</v>
      </c>
      <c r="D25" s="38" t="s">
        <v>89</v>
      </c>
      <c r="E25" s="39" t="s">
        <v>41</v>
      </c>
      <c r="F25" s="38" t="s">
        <v>99</v>
      </c>
      <c r="G25" s="38" t="n">
        <v>0</v>
      </c>
      <c r="H25" s="43" t="s">
        <v>3</v>
      </c>
      <c r="I25" s="40" t="n">
        <v>195000</v>
      </c>
      <c r="J25" s="40" t="n">
        <v>243750</v>
      </c>
      <c r="K25" s="38" t="s">
        <v>46</v>
      </c>
      <c r="L25" s="38" t="s">
        <v>101</v>
      </c>
      <c r="M25" s="38" t="s">
        <v>25</v>
      </c>
      <c r="N25" s="39" t="s">
        <v>132</v>
      </c>
    </row>
    <row r="26" customFormat="false" ht="15" hidden="false" customHeight="false" outlineLevel="0" collapsed="false">
      <c r="A26" s="24" t="s">
        <v>133</v>
      </c>
      <c r="B26" s="24" t="s">
        <v>16</v>
      </c>
      <c r="C26" s="24" t="s">
        <v>134</v>
      </c>
      <c r="D26" s="24" t="s">
        <v>84</v>
      </c>
      <c r="E26" s="36" t="s">
        <v>45</v>
      </c>
      <c r="F26" s="24" t="s">
        <v>104</v>
      </c>
      <c r="G26" s="24" t="n">
        <v>0</v>
      </c>
      <c r="H26" s="43" t="s">
        <v>3</v>
      </c>
      <c r="I26" s="41" t="n">
        <v>145000</v>
      </c>
      <c r="J26" s="41" t="n">
        <v>181250</v>
      </c>
      <c r="K26" s="24" t="s">
        <v>49</v>
      </c>
      <c r="L26" s="24" t="s">
        <v>101</v>
      </c>
      <c r="M26" s="24" t="s">
        <v>25</v>
      </c>
      <c r="N26" s="36" t="s">
        <v>135</v>
      </c>
    </row>
    <row r="27" customFormat="false" ht="15" hidden="false" customHeight="false" outlineLevel="0" collapsed="false">
      <c r="A27" s="38" t="s">
        <v>136</v>
      </c>
      <c r="B27" s="38" t="s">
        <v>20</v>
      </c>
      <c r="C27" s="38" t="s">
        <v>134</v>
      </c>
      <c r="D27" s="38" t="s">
        <v>84</v>
      </c>
      <c r="E27" s="39" t="s">
        <v>52</v>
      </c>
      <c r="F27" s="38" t="s">
        <v>117</v>
      </c>
      <c r="G27" s="38" t="n">
        <v>0</v>
      </c>
      <c r="H27" s="43" t="s">
        <v>3</v>
      </c>
      <c r="I27" s="40" t="n">
        <v>72000</v>
      </c>
      <c r="J27" s="40" t="n">
        <v>90000</v>
      </c>
      <c r="K27" s="38" t="s">
        <v>49</v>
      </c>
      <c r="L27" s="38" t="s">
        <v>111</v>
      </c>
      <c r="M27" s="38" t="s">
        <v>25</v>
      </c>
      <c r="N27" s="39" t="s">
        <v>137</v>
      </c>
    </row>
  </sheetData>
  <mergeCells count="1">
    <mergeCell ref="A11:N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50"/>
    <col collapsed="false" customWidth="true" hidden="false" outlineLevel="0" max="6" min="6" style="0" width="10"/>
  </cols>
  <sheetData>
    <row r="1" customFormat="false" ht="15" hidden="false" customHeight="true" outlineLevel="0" collapsed="false">
      <c r="A1" s="1" t="s">
        <v>138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139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7" t="s">
        <v>34</v>
      </c>
      <c r="B4" s="37" t="s">
        <v>3</v>
      </c>
      <c r="C4" s="37" t="s">
        <v>140</v>
      </c>
      <c r="D4" s="37" t="s">
        <v>141</v>
      </c>
      <c r="E4" s="37" t="s">
        <v>142</v>
      </c>
      <c r="F4" s="37" t="s">
        <v>82</v>
      </c>
    </row>
    <row r="5" customFormat="false" ht="79.85" hidden="false" customHeight="false" outlineLevel="0" collapsed="false">
      <c r="A5" s="44" t="s">
        <v>16</v>
      </c>
      <c r="B5" s="17" t="n">
        <v>3</v>
      </c>
      <c r="C5" s="17" t="n">
        <v>1</v>
      </c>
      <c r="D5" s="17" t="n">
        <v>2</v>
      </c>
      <c r="E5" s="19" t="n">
        <v>3</v>
      </c>
      <c r="F5" s="31" t="s">
        <v>143</v>
      </c>
    </row>
    <row r="6" customFormat="false" ht="57.45" hidden="false" customHeight="false" outlineLevel="0" collapsed="false">
      <c r="A6" s="44" t="s">
        <v>20</v>
      </c>
      <c r="B6" s="17" t="n">
        <v>1</v>
      </c>
      <c r="C6" s="17" t="n">
        <v>1</v>
      </c>
      <c r="D6" s="17" t="n">
        <v>0</v>
      </c>
      <c r="E6" s="19" t="n">
        <v>1</v>
      </c>
      <c r="F6" s="31" t="s">
        <v>144</v>
      </c>
    </row>
    <row r="7" customFormat="false" ht="15" hidden="false" customHeight="false" outlineLevel="0" collapsed="false">
      <c r="A7" s="45" t="s">
        <v>24</v>
      </c>
      <c r="B7" s="38" t="n">
        <v>2</v>
      </c>
      <c r="C7" s="38" t="n">
        <v>0</v>
      </c>
      <c r="D7" s="38" t="n">
        <v>0</v>
      </c>
      <c r="E7" s="38" t="n">
        <v>0</v>
      </c>
      <c r="F7" s="39" t="s">
        <v>145</v>
      </c>
    </row>
    <row r="8" customFormat="false" ht="15" hidden="false" customHeight="false" outlineLevel="0" collapsed="false">
      <c r="A8" s="35" t="s">
        <v>29</v>
      </c>
      <c r="B8" s="24" t="n">
        <v>1</v>
      </c>
      <c r="C8" s="24" t="n">
        <v>0</v>
      </c>
      <c r="D8" s="24" t="n">
        <v>0</v>
      </c>
      <c r="E8" s="24" t="n">
        <v>0</v>
      </c>
      <c r="F8" s="36" t="s">
        <v>102</v>
      </c>
    </row>
    <row r="9" customFormat="false" ht="46.25" hidden="false" customHeight="false" outlineLevel="0" collapsed="false">
      <c r="A9" s="45" t="s">
        <v>27</v>
      </c>
      <c r="B9" s="38" t="n">
        <v>2</v>
      </c>
      <c r="C9" s="38" t="n">
        <v>0</v>
      </c>
      <c r="D9" s="38" t="n">
        <v>0</v>
      </c>
      <c r="E9" s="38" t="n">
        <v>0</v>
      </c>
      <c r="F9" s="39" t="s">
        <v>146</v>
      </c>
    </row>
    <row r="10" customFormat="false" ht="46.25" hidden="false" customHeight="false" outlineLevel="0" collapsed="false">
      <c r="A10" s="35" t="s">
        <v>147</v>
      </c>
      <c r="B10" s="24" t="n">
        <v>3</v>
      </c>
      <c r="C10" s="24" t="n">
        <v>0</v>
      </c>
      <c r="D10" s="24" t="n">
        <v>0</v>
      </c>
      <c r="E10" s="24" t="n">
        <v>0</v>
      </c>
      <c r="F10" s="36" t="s">
        <v>148</v>
      </c>
    </row>
    <row r="11" customFormat="false" ht="15" hidden="false" customHeight="false" outlineLevel="0" collapsed="false">
      <c r="A11" s="26" t="s">
        <v>149</v>
      </c>
      <c r="B11" s="27" t="n">
        <v>12</v>
      </c>
      <c r="C11" s="27" t="n">
        <v>2</v>
      </c>
      <c r="D11" s="27" t="n">
        <v>2</v>
      </c>
      <c r="E11" s="27" t="n">
        <v>4</v>
      </c>
      <c r="F11" s="27"/>
    </row>
    <row r="13" customFormat="false" ht="15" hidden="false" customHeight="false" outlineLevel="0" collapsed="false">
      <c r="A13" s="46" t="s">
        <v>150</v>
      </c>
      <c r="B13" s="46"/>
      <c r="C13" s="46"/>
      <c r="D13" s="46"/>
      <c r="E13" s="46"/>
      <c r="F13" s="46"/>
    </row>
    <row r="14" customFormat="false" ht="15" hidden="false" customHeight="false" outlineLevel="0" collapsed="false">
      <c r="A14" s="15" t="s">
        <v>151</v>
      </c>
      <c r="B14" s="15" t="s">
        <v>152</v>
      </c>
      <c r="C14" s="15" t="s">
        <v>153</v>
      </c>
      <c r="D14" s="15" t="s">
        <v>154</v>
      </c>
      <c r="E14" s="15" t="s">
        <v>155</v>
      </c>
      <c r="F14" s="15"/>
    </row>
    <row r="15" customFormat="false" ht="15" hidden="false" customHeight="false" outlineLevel="0" collapsed="false">
      <c r="A15" s="38" t="s">
        <v>63</v>
      </c>
      <c r="B15" s="38" t="n">
        <v>1</v>
      </c>
      <c r="C15" s="38" t="s">
        <v>156</v>
      </c>
      <c r="D15" s="38" t="n">
        <v>0</v>
      </c>
      <c r="E15" s="39" t="s">
        <v>157</v>
      </c>
      <c r="F15" s="39"/>
    </row>
    <row r="16" customFormat="false" ht="15" hidden="false" customHeight="false" outlineLevel="0" collapsed="false">
      <c r="A16" s="17" t="s">
        <v>49</v>
      </c>
      <c r="B16" s="17" t="n">
        <v>5</v>
      </c>
      <c r="C16" s="17" t="s">
        <v>158</v>
      </c>
      <c r="D16" s="17" t="n">
        <v>1</v>
      </c>
      <c r="E16" s="31" t="s">
        <v>159</v>
      </c>
      <c r="F16" s="31"/>
    </row>
    <row r="17" customFormat="false" ht="15" hidden="false" customHeight="false" outlineLevel="0" collapsed="false">
      <c r="A17" s="17" t="s">
        <v>46</v>
      </c>
      <c r="B17" s="17" t="n">
        <v>2</v>
      </c>
      <c r="C17" s="17" t="s">
        <v>160</v>
      </c>
      <c r="D17" s="17" t="n">
        <v>1</v>
      </c>
      <c r="E17" s="31" t="s">
        <v>161</v>
      </c>
      <c r="F17" s="31"/>
    </row>
    <row r="18" customFormat="false" ht="15" hidden="false" customHeight="false" outlineLevel="0" collapsed="false">
      <c r="A18" s="24" t="s">
        <v>100</v>
      </c>
      <c r="B18" s="24" t="n">
        <v>1</v>
      </c>
      <c r="C18" s="24" t="s">
        <v>156</v>
      </c>
      <c r="D18" s="24" t="n">
        <v>0</v>
      </c>
      <c r="E18" s="36" t="s">
        <v>162</v>
      </c>
      <c r="F18" s="36"/>
    </row>
    <row r="19" customFormat="false" ht="15" hidden="false" customHeight="false" outlineLevel="0" collapsed="false">
      <c r="A19" s="17" t="s">
        <v>53</v>
      </c>
      <c r="B19" s="17" t="n">
        <v>1</v>
      </c>
      <c r="C19" s="17" t="s">
        <v>156</v>
      </c>
      <c r="D19" s="17" t="n">
        <v>1</v>
      </c>
      <c r="E19" s="31" t="s">
        <v>163</v>
      </c>
      <c r="F19" s="31"/>
    </row>
    <row r="20" customFormat="false" ht="15" hidden="false" customHeight="false" outlineLevel="0" collapsed="false">
      <c r="A20" s="17" t="s">
        <v>42</v>
      </c>
      <c r="B20" s="17" t="n">
        <v>1</v>
      </c>
      <c r="C20" s="17" t="s">
        <v>156</v>
      </c>
      <c r="D20" s="17" t="n">
        <v>1</v>
      </c>
      <c r="E20" s="31" t="s">
        <v>164</v>
      </c>
      <c r="F20" s="31"/>
    </row>
    <row r="21" customFormat="false" ht="15" hidden="false" customHeight="false" outlineLevel="0" collapsed="false">
      <c r="A21" s="38" t="s">
        <v>165</v>
      </c>
      <c r="B21" s="38" t="n">
        <v>1</v>
      </c>
      <c r="C21" s="38" t="s">
        <v>156</v>
      </c>
      <c r="D21" s="38" t="n">
        <v>0</v>
      </c>
      <c r="E21" s="39" t="s">
        <v>166</v>
      </c>
      <c r="F21" s="39"/>
    </row>
  </sheetData>
  <mergeCells count="3">
    <mergeCell ref="A1:F1"/>
    <mergeCell ref="A2:F2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36"/>
  </cols>
  <sheetData>
    <row r="1" customFormat="false" ht="15" hidden="false" customHeight="true" outlineLevel="0" collapsed="false">
      <c r="A1" s="1" t="s">
        <v>167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168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7" t="s">
        <v>33</v>
      </c>
      <c r="B4" s="37" t="s">
        <v>34</v>
      </c>
      <c r="C4" s="37" t="s">
        <v>35</v>
      </c>
      <c r="D4" s="37" t="s">
        <v>78</v>
      </c>
      <c r="E4" s="37" t="s">
        <v>79</v>
      </c>
      <c r="F4" s="37" t="s">
        <v>37</v>
      </c>
      <c r="G4" s="37" t="s">
        <v>169</v>
      </c>
      <c r="H4" s="37" t="s">
        <v>170</v>
      </c>
    </row>
    <row r="5" customFormat="false" ht="15" hidden="false" customHeight="false" outlineLevel="0" collapsed="false">
      <c r="A5" s="38" t="s">
        <v>96</v>
      </c>
      <c r="B5" s="38" t="s">
        <v>16</v>
      </c>
      <c r="C5" s="39" t="s">
        <v>98</v>
      </c>
      <c r="D5" s="40" t="n">
        <v>265000</v>
      </c>
      <c r="E5" s="40" t="n">
        <v>331250</v>
      </c>
      <c r="F5" s="38" t="s">
        <v>100</v>
      </c>
      <c r="G5" s="47" t="s">
        <v>87</v>
      </c>
      <c r="H5" s="39" t="s">
        <v>171</v>
      </c>
    </row>
    <row r="6" customFormat="false" ht="15" hidden="false" customHeight="false" outlineLevel="0" collapsed="false">
      <c r="A6" s="21" t="s">
        <v>103</v>
      </c>
      <c r="B6" s="21" t="s">
        <v>16</v>
      </c>
      <c r="C6" s="32" t="s">
        <v>41</v>
      </c>
      <c r="D6" s="48" t="n">
        <v>222000</v>
      </c>
      <c r="E6" s="48" t="n">
        <v>277500</v>
      </c>
      <c r="F6" s="21" t="s">
        <v>49</v>
      </c>
      <c r="G6" s="49" t="s">
        <v>87</v>
      </c>
      <c r="H6" s="32" t="s">
        <v>172</v>
      </c>
    </row>
    <row r="7" customFormat="false" ht="15" hidden="false" customHeight="false" outlineLevel="0" collapsed="false">
      <c r="A7" s="21" t="s">
        <v>40</v>
      </c>
      <c r="B7" s="21" t="s">
        <v>16</v>
      </c>
      <c r="C7" s="32" t="s">
        <v>41</v>
      </c>
      <c r="D7" s="48" t="n">
        <v>220000</v>
      </c>
      <c r="E7" s="48" t="n">
        <v>275000</v>
      </c>
      <c r="F7" s="21" t="s">
        <v>42</v>
      </c>
      <c r="G7" s="49" t="s">
        <v>87</v>
      </c>
      <c r="H7" s="32" t="s">
        <v>173</v>
      </c>
    </row>
    <row r="8" customFormat="false" ht="15" hidden="false" customHeight="false" outlineLevel="0" collapsed="false">
      <c r="A8" s="17" t="s">
        <v>44</v>
      </c>
      <c r="B8" s="17" t="s">
        <v>16</v>
      </c>
      <c r="C8" s="31" t="s">
        <v>45</v>
      </c>
      <c r="D8" s="50" t="n">
        <v>178000</v>
      </c>
      <c r="E8" s="50" t="n">
        <v>222500</v>
      </c>
      <c r="F8" s="17" t="s">
        <v>46</v>
      </c>
      <c r="G8" s="19" t="s">
        <v>87</v>
      </c>
      <c r="H8" s="31" t="s">
        <v>174</v>
      </c>
    </row>
    <row r="9" customFormat="false" ht="15" hidden="false" customHeight="false" outlineLevel="0" collapsed="false">
      <c r="A9" s="17" t="s">
        <v>48</v>
      </c>
      <c r="B9" s="17" t="s">
        <v>16</v>
      </c>
      <c r="C9" s="31" t="s">
        <v>45</v>
      </c>
      <c r="D9" s="50" t="n">
        <v>176000</v>
      </c>
      <c r="E9" s="50" t="n">
        <v>220000</v>
      </c>
      <c r="F9" s="17" t="s">
        <v>49</v>
      </c>
      <c r="G9" s="19" t="s">
        <v>87</v>
      </c>
      <c r="H9" s="31" t="s">
        <v>175</v>
      </c>
    </row>
    <row r="10" customFormat="false" ht="15" hidden="false" customHeight="false" outlineLevel="0" collapsed="false">
      <c r="A10" s="24" t="s">
        <v>115</v>
      </c>
      <c r="B10" s="24" t="s">
        <v>24</v>
      </c>
      <c r="C10" s="36" t="s">
        <v>116</v>
      </c>
      <c r="D10" s="41" t="n">
        <v>162000</v>
      </c>
      <c r="E10" s="41" t="n">
        <v>202500</v>
      </c>
      <c r="F10" s="24" t="s">
        <v>49</v>
      </c>
      <c r="G10" s="51" t="s">
        <v>87</v>
      </c>
      <c r="H10" s="36" t="s">
        <v>176</v>
      </c>
    </row>
    <row r="11" customFormat="false" ht="15" hidden="false" customHeight="false" outlineLevel="0" collapsed="false">
      <c r="A11" s="38" t="s">
        <v>123</v>
      </c>
      <c r="B11" s="38" t="s">
        <v>27</v>
      </c>
      <c r="C11" s="39" t="s">
        <v>124</v>
      </c>
      <c r="D11" s="40" t="n">
        <v>150000</v>
      </c>
      <c r="E11" s="40" t="n">
        <v>187500</v>
      </c>
      <c r="F11" s="38" t="s">
        <v>49</v>
      </c>
      <c r="G11" s="47" t="s">
        <v>87</v>
      </c>
      <c r="H11" s="39" t="s">
        <v>177</v>
      </c>
    </row>
    <row r="12" customFormat="false" ht="15" hidden="false" customHeight="false" outlineLevel="0" collapsed="false">
      <c r="A12" s="24" t="s">
        <v>108</v>
      </c>
      <c r="B12" s="24" t="s">
        <v>20</v>
      </c>
      <c r="C12" s="36" t="s">
        <v>109</v>
      </c>
      <c r="D12" s="41" t="n">
        <v>104000</v>
      </c>
      <c r="E12" s="41" t="n">
        <v>130000</v>
      </c>
      <c r="F12" s="24" t="s">
        <v>49</v>
      </c>
      <c r="G12" s="24" t="s">
        <v>25</v>
      </c>
      <c r="H12" s="36" t="s">
        <v>176</v>
      </c>
    </row>
    <row r="13" customFormat="false" ht="15" hidden="false" customHeight="false" outlineLevel="0" collapsed="false">
      <c r="A13" s="17" t="s">
        <v>127</v>
      </c>
      <c r="B13" s="17" t="s">
        <v>27</v>
      </c>
      <c r="C13" s="31" t="s">
        <v>128</v>
      </c>
      <c r="D13" s="50" t="n">
        <v>88000</v>
      </c>
      <c r="E13" s="50" t="n">
        <v>110000</v>
      </c>
      <c r="F13" s="17" t="s">
        <v>63</v>
      </c>
      <c r="G13" s="17" t="s">
        <v>25</v>
      </c>
      <c r="H13" s="31" t="s">
        <v>178</v>
      </c>
    </row>
    <row r="14" customFormat="false" ht="15" hidden="false" customHeight="false" outlineLevel="0" collapsed="false">
      <c r="A14" s="24" t="s">
        <v>112</v>
      </c>
      <c r="B14" s="24" t="s">
        <v>24</v>
      </c>
      <c r="C14" s="36" t="s">
        <v>113</v>
      </c>
      <c r="D14" s="41" t="n">
        <v>102000</v>
      </c>
      <c r="E14" s="41" t="n">
        <v>127500</v>
      </c>
      <c r="F14" s="24" t="s">
        <v>46</v>
      </c>
      <c r="G14" s="24" t="s">
        <v>25</v>
      </c>
      <c r="H14" s="36" t="s">
        <v>176</v>
      </c>
    </row>
    <row r="15" customFormat="false" ht="15" hidden="false" customHeight="false" outlineLevel="0" collapsed="false">
      <c r="A15" s="38" t="s">
        <v>119</v>
      </c>
      <c r="B15" s="38" t="s">
        <v>29</v>
      </c>
      <c r="C15" s="39" t="s">
        <v>120</v>
      </c>
      <c r="D15" s="40" t="n">
        <v>95000</v>
      </c>
      <c r="E15" s="40" t="n">
        <v>118750</v>
      </c>
      <c r="F15" s="38" t="s">
        <v>49</v>
      </c>
      <c r="G15" s="38" t="s">
        <v>25</v>
      </c>
      <c r="H15" s="39" t="s">
        <v>176</v>
      </c>
    </row>
    <row r="16" customFormat="false" ht="15" hidden="false" customHeight="false" outlineLevel="0" collapsed="false">
      <c r="A16" s="21" t="s">
        <v>51</v>
      </c>
      <c r="B16" s="21" t="s">
        <v>20</v>
      </c>
      <c r="C16" s="32" t="s">
        <v>52</v>
      </c>
      <c r="D16" s="48" t="n">
        <v>82000</v>
      </c>
      <c r="E16" s="48" t="n">
        <v>102500</v>
      </c>
      <c r="F16" s="21" t="s">
        <v>53</v>
      </c>
      <c r="G16" s="21" t="s">
        <v>25</v>
      </c>
      <c r="H16" s="32" t="s">
        <v>179</v>
      </c>
    </row>
    <row r="17" customFormat="false" ht="35.05" hidden="false" customHeight="false" outlineLevel="0" collapsed="false">
      <c r="A17" s="26" t="s">
        <v>31</v>
      </c>
      <c r="B17" s="27"/>
      <c r="C17" s="27"/>
      <c r="D17" s="28" t="n">
        <v>1844000</v>
      </c>
      <c r="E17" s="28" t="n">
        <v>2305000</v>
      </c>
      <c r="F17" s="27"/>
      <c r="G17" s="27"/>
      <c r="H17" s="27"/>
    </row>
    <row r="19" customFormat="false" ht="15" hidden="false" customHeight="false" outlineLevel="0" collapsed="false">
      <c r="A19" s="52" t="s">
        <v>180</v>
      </c>
      <c r="B19" s="52"/>
      <c r="C19" s="52"/>
      <c r="D19" s="52"/>
      <c r="E19" s="52"/>
      <c r="F19" s="52"/>
      <c r="G19" s="52"/>
      <c r="H19" s="52"/>
    </row>
  </sheetData>
  <mergeCells count="3">
    <mergeCell ref="A1:H1"/>
    <mergeCell ref="A2:H2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4" min="3" style="0" width="14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60"/>
  </cols>
  <sheetData>
    <row r="1" customFormat="false" ht="15" hidden="false" customHeight="true" outlineLevel="0" collapsed="false">
      <c r="A1" s="1" t="s">
        <v>181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30" t="s">
        <v>182</v>
      </c>
      <c r="B3" s="30" t="s">
        <v>183</v>
      </c>
      <c r="C3" s="30" t="s">
        <v>33</v>
      </c>
      <c r="D3" s="30" t="s">
        <v>34</v>
      </c>
      <c r="E3" s="30" t="s">
        <v>184</v>
      </c>
      <c r="F3" s="30" t="s">
        <v>38</v>
      </c>
      <c r="G3" s="30" t="s">
        <v>185</v>
      </c>
    </row>
    <row r="4" customFormat="false" ht="23.85" hidden="false" customHeight="false" outlineLevel="0" collapsed="false">
      <c r="A4" s="19" t="s">
        <v>186</v>
      </c>
      <c r="B4" s="31" t="s">
        <v>187</v>
      </c>
      <c r="C4" s="17" t="s">
        <v>44</v>
      </c>
      <c r="D4" s="17" t="s">
        <v>16</v>
      </c>
      <c r="E4" s="17" t="s">
        <v>45</v>
      </c>
      <c r="F4" s="18" t="n">
        <v>222500</v>
      </c>
      <c r="G4" s="31" t="s">
        <v>188</v>
      </c>
    </row>
    <row r="5" customFormat="false" ht="35.05" hidden="false" customHeight="false" outlineLevel="0" collapsed="false">
      <c r="A5" s="19" t="s">
        <v>186</v>
      </c>
      <c r="B5" s="31" t="s">
        <v>187</v>
      </c>
      <c r="C5" s="17" t="s">
        <v>48</v>
      </c>
      <c r="D5" s="17" t="s">
        <v>16</v>
      </c>
      <c r="E5" s="17" t="s">
        <v>45</v>
      </c>
      <c r="F5" s="18" t="n">
        <v>220000</v>
      </c>
      <c r="G5" s="31" t="s">
        <v>189</v>
      </c>
    </row>
    <row r="6" customFormat="false" ht="35.05" hidden="false" customHeight="false" outlineLevel="0" collapsed="false">
      <c r="A6" s="19" t="s">
        <v>186</v>
      </c>
      <c r="B6" s="31" t="s">
        <v>190</v>
      </c>
      <c r="C6" s="17" t="s">
        <v>51</v>
      </c>
      <c r="D6" s="17" t="s">
        <v>20</v>
      </c>
      <c r="E6" s="17" t="s">
        <v>52</v>
      </c>
      <c r="F6" s="18" t="n">
        <v>102500</v>
      </c>
      <c r="G6" s="31" t="s">
        <v>191</v>
      </c>
    </row>
    <row r="7" customFormat="false" ht="23.85" hidden="false" customHeight="false" outlineLevel="0" collapsed="false">
      <c r="A7" s="42" t="s">
        <v>192</v>
      </c>
      <c r="B7" s="32" t="s">
        <v>187</v>
      </c>
      <c r="C7" s="21" t="s">
        <v>40</v>
      </c>
      <c r="D7" s="21" t="s">
        <v>16</v>
      </c>
      <c r="E7" s="21" t="s">
        <v>41</v>
      </c>
      <c r="F7" s="22" t="n">
        <v>275000</v>
      </c>
      <c r="G7" s="32" t="s">
        <v>193</v>
      </c>
    </row>
    <row r="8" customFormat="false" ht="35.05" hidden="false" customHeight="false" outlineLevel="0" collapsed="false">
      <c r="A8" s="42" t="s">
        <v>192</v>
      </c>
      <c r="B8" s="32" t="s">
        <v>194</v>
      </c>
      <c r="C8" s="21" t="s">
        <v>44</v>
      </c>
      <c r="D8" s="21" t="s">
        <v>16</v>
      </c>
      <c r="E8" s="21" t="s">
        <v>45</v>
      </c>
      <c r="F8" s="22" t="n">
        <v>222500</v>
      </c>
      <c r="G8" s="32" t="s">
        <v>195</v>
      </c>
    </row>
    <row r="9" customFormat="false" ht="35.05" hidden="false" customHeight="false" outlineLevel="0" collapsed="false">
      <c r="A9" s="42" t="s">
        <v>192</v>
      </c>
      <c r="B9" s="32" t="s">
        <v>196</v>
      </c>
      <c r="C9" s="21" t="s">
        <v>197</v>
      </c>
      <c r="D9" s="21" t="s">
        <v>16</v>
      </c>
      <c r="E9" s="21" t="s">
        <v>198</v>
      </c>
      <c r="F9" s="21"/>
      <c r="G9" s="32" t="s">
        <v>199</v>
      </c>
    </row>
    <row r="10" customFormat="false" ht="35.05" hidden="false" customHeight="false" outlineLevel="0" collapsed="false">
      <c r="A10" s="42" t="s">
        <v>192</v>
      </c>
      <c r="B10" s="32" t="s">
        <v>200</v>
      </c>
      <c r="C10" s="21" t="s">
        <v>127</v>
      </c>
      <c r="D10" s="21" t="s">
        <v>27</v>
      </c>
      <c r="E10" s="21" t="s">
        <v>128</v>
      </c>
      <c r="F10" s="22" t="n">
        <v>110000</v>
      </c>
      <c r="G10" s="32" t="s">
        <v>201</v>
      </c>
    </row>
    <row r="11" customFormat="false" ht="35.05" hidden="false" customHeight="false" outlineLevel="0" collapsed="false">
      <c r="A11" s="53" t="s">
        <v>202</v>
      </c>
      <c r="B11" s="54" t="s">
        <v>203</v>
      </c>
      <c r="C11" s="55" t="s">
        <v>25</v>
      </c>
      <c r="D11" s="55" t="s">
        <v>16</v>
      </c>
      <c r="E11" s="55" t="s">
        <v>10</v>
      </c>
      <c r="F11" s="56" t="n">
        <v>1326250</v>
      </c>
      <c r="G11" s="54" t="s">
        <v>204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205</v>
      </c>
      <c r="B1" s="1"/>
    </row>
    <row r="3" customFormat="false" ht="15" hidden="false" customHeight="false" outlineLevel="0" collapsed="false">
      <c r="A3" s="57" t="s">
        <v>206</v>
      </c>
      <c r="B3" s="58" t="s">
        <v>207</v>
      </c>
    </row>
    <row r="4" customFormat="false" ht="15" hidden="false" customHeight="false" outlineLevel="0" collapsed="false">
      <c r="A4" s="59" t="s">
        <v>208</v>
      </c>
      <c r="B4" s="60" t="s">
        <v>209</v>
      </c>
    </row>
    <row r="5" customFormat="false" ht="15" hidden="false" customHeight="false" outlineLevel="0" collapsed="false">
      <c r="A5" s="57" t="s">
        <v>210</v>
      </c>
      <c r="B5" s="58" t="s">
        <v>211</v>
      </c>
    </row>
    <row r="6" customFormat="false" ht="15" hidden="false" customHeight="false" outlineLevel="0" collapsed="false">
      <c r="A6" s="59" t="s">
        <v>74</v>
      </c>
      <c r="B6" s="60" t="s">
        <v>212</v>
      </c>
    </row>
    <row r="7" customFormat="false" ht="15" hidden="false" customHeight="false" outlineLevel="0" collapsed="false">
      <c r="A7" s="57" t="s">
        <v>213</v>
      </c>
      <c r="B7" s="58" t="s">
        <v>214</v>
      </c>
    </row>
    <row r="8" customFormat="false" ht="15" hidden="false" customHeight="false" outlineLevel="0" collapsed="false">
      <c r="A8" s="59" t="s">
        <v>215</v>
      </c>
      <c r="B8" s="60" t="s">
        <v>216</v>
      </c>
    </row>
    <row r="9" customFormat="false" ht="15" hidden="false" customHeight="false" outlineLevel="0" collapsed="false">
      <c r="A9" s="57" t="s">
        <v>217</v>
      </c>
      <c r="B9" s="58" t="s">
        <v>218</v>
      </c>
    </row>
    <row r="10" customFormat="false" ht="15" hidden="false" customHeight="false" outlineLevel="0" collapsed="false">
      <c r="A10" s="59" t="s">
        <v>219</v>
      </c>
      <c r="B10" s="60" t="s">
        <v>220</v>
      </c>
    </row>
    <row r="11" customFormat="false" ht="15" hidden="false" customHeight="false" outlineLevel="0" collapsed="false">
      <c r="A11" s="57" t="s">
        <v>221</v>
      </c>
      <c r="B11" s="58" t="s">
        <v>222</v>
      </c>
    </row>
    <row r="12" customFormat="false" ht="15" hidden="false" customHeight="false" outlineLevel="0" collapsed="false">
      <c r="A12" s="59" t="s">
        <v>223</v>
      </c>
      <c r="B12" s="60" t="s">
        <v>224</v>
      </c>
    </row>
    <row r="13" customFormat="false" ht="15" hidden="false" customHeight="false" outlineLevel="0" collapsed="false">
      <c r="A13" s="57" t="s">
        <v>225</v>
      </c>
      <c r="B13" s="58" t="s">
        <v>226</v>
      </c>
    </row>
    <row r="14" customFormat="false" ht="15" hidden="false" customHeight="false" outlineLevel="0" collapsed="false">
      <c r="A14" s="59" t="s">
        <v>227</v>
      </c>
      <c r="B14" s="60" t="s">
        <v>228</v>
      </c>
    </row>
    <row r="15" customFormat="false" ht="15" hidden="false" customHeight="false" outlineLevel="0" collapsed="false">
      <c r="A15" s="57" t="s">
        <v>229</v>
      </c>
      <c r="B15" s="58" t="s">
        <v>230</v>
      </c>
    </row>
    <row r="16" customFormat="false" ht="15" hidden="false" customHeight="false" outlineLevel="0" collapsed="false">
      <c r="A16" s="59" t="s">
        <v>231</v>
      </c>
      <c r="B16" s="60" t="s">
        <v>232</v>
      </c>
    </row>
    <row r="17" customFormat="false" ht="15" hidden="false" customHeight="false" outlineLevel="0" collapsed="false">
      <c r="A17" s="57" t="s">
        <v>233</v>
      </c>
      <c r="B17" s="58" t="s">
        <v>234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2026-05-27T23:59:13Z</dcterms:created>
  <dc:creator>openpyxl</dc:creator>
  <dc:description/>
  <dc:language>en-US</dc:language>
  <cp:lastModifiedBy/>
  <dcterms:modified xsi:type="dcterms:W3CDTF">2026-05-27T23:59:13Z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